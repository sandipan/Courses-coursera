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Yu\Dropbox\MOOCs\Kandori\"/>
    </mc:Choice>
  </mc:AlternateContent>
  <bookViews>
    <workbookView xWindow="2184" yWindow="0" windowWidth="22740" windowHeight="17304"/>
  </bookViews>
  <sheets>
    <sheet name="ResultSheet" sheetId="1" r:id="rId1"/>
  </sheets>
  <definedNames>
    <definedName name="_xlnm.Print_Area" localSheetId="0">ResultSheet!$A$2:$Q$21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1" i="1" l="1"/>
  <c r="E21" i="1"/>
  <c r="D21" i="1"/>
  <c r="C21" i="1"/>
  <c r="G21" i="1" s="1"/>
  <c r="C18" i="1"/>
  <c r="G18" i="1" s="1"/>
  <c r="F18" i="1"/>
  <c r="E18" i="1"/>
  <c r="D18" i="1"/>
  <c r="Q5" i="1"/>
  <c r="Q7" i="1" s="1"/>
  <c r="C12" i="1"/>
  <c r="C14" i="1"/>
  <c r="C13" i="1"/>
  <c r="D12" i="1"/>
  <c r="D13" i="1" s="1"/>
  <c r="D14" i="1"/>
  <c r="E12" i="1"/>
  <c r="E14" i="1" s="1"/>
  <c r="F12" i="1"/>
  <c r="F14" i="1"/>
  <c r="G12" i="1"/>
  <c r="G14" i="1"/>
  <c r="H12" i="1"/>
  <c r="H14" i="1"/>
  <c r="I12" i="1"/>
  <c r="I14" i="1" s="1"/>
  <c r="J12" i="1"/>
  <c r="J14" i="1"/>
  <c r="K12" i="1"/>
  <c r="K13" i="1" s="1"/>
  <c r="K14" i="1"/>
  <c r="L12" i="1"/>
  <c r="L13" i="1" s="1"/>
  <c r="L14" i="1"/>
  <c r="M12" i="1"/>
  <c r="M14" i="1" s="1"/>
  <c r="N12" i="1"/>
  <c r="N14" i="1"/>
  <c r="O12" i="1"/>
  <c r="O14" i="1"/>
  <c r="P12" i="1"/>
  <c r="P14" i="1"/>
  <c r="Q12" i="1"/>
  <c r="Q14" i="1" s="1"/>
  <c r="F13" i="1"/>
  <c r="G13" i="1"/>
  <c r="H13" i="1"/>
  <c r="J13" i="1"/>
  <c r="N13" i="1"/>
  <c r="O13" i="1"/>
  <c r="P13" i="1"/>
  <c r="E5" i="1"/>
  <c r="E7" i="1" s="1"/>
  <c r="F5" i="1"/>
  <c r="F6" i="1" s="1"/>
  <c r="F7" i="1"/>
  <c r="G5" i="1"/>
  <c r="G6" i="1" s="1"/>
  <c r="G7" i="1"/>
  <c r="H5" i="1"/>
  <c r="H6" i="1" s="1"/>
  <c r="H7" i="1"/>
  <c r="I5" i="1"/>
  <c r="I7" i="1" s="1"/>
  <c r="J5" i="1"/>
  <c r="J7" i="1"/>
  <c r="K5" i="1"/>
  <c r="K7" i="1"/>
  <c r="L5" i="1"/>
  <c r="L7" i="1"/>
  <c r="M5" i="1"/>
  <c r="M7" i="1" s="1"/>
  <c r="N5" i="1"/>
  <c r="N6" i="1" s="1"/>
  <c r="N7" i="1"/>
  <c r="O5" i="1"/>
  <c r="O6" i="1" s="1"/>
  <c r="O7" i="1"/>
  <c r="P5" i="1"/>
  <c r="P6" i="1" s="1"/>
  <c r="P7" i="1"/>
  <c r="E6" i="1"/>
  <c r="J6" i="1"/>
  <c r="K6" i="1"/>
  <c r="L6" i="1"/>
  <c r="M6" i="1"/>
  <c r="D5" i="1"/>
  <c r="D7" i="1"/>
  <c r="D6" i="1"/>
  <c r="C5" i="1"/>
  <c r="C6" i="1" s="1"/>
  <c r="C7" i="1"/>
  <c r="Q13" i="1" l="1"/>
  <c r="I13" i="1"/>
  <c r="I6" i="1"/>
  <c r="Q6" i="1"/>
  <c r="M13" i="1"/>
  <c r="E13" i="1"/>
</calcChain>
</file>

<file path=xl/sharedStrings.xml><?xml version="1.0" encoding="utf-8"?>
<sst xmlns="http://schemas.openxmlformats.org/spreadsheetml/2006/main" count="26" uniqueCount="17">
  <si>
    <t>Winner (please circle)</t>
    <phoneticPr fontId="1"/>
  </si>
  <si>
    <t>Total score of Red</t>
    <phoneticPr fontId="1"/>
  </si>
  <si>
    <t>Total score of Black</t>
    <phoneticPr fontId="1"/>
  </si>
  <si>
    <t>Winner gets 1 and loser gets 0</t>
    <phoneticPr fontId="1"/>
  </si>
  <si>
    <t>Red player's choice</t>
    <phoneticPr fontId="1"/>
  </si>
  <si>
    <t>Black player's choice</t>
    <phoneticPr fontId="1"/>
  </si>
  <si>
    <t>Total</t>
    <phoneticPr fontId="1"/>
  </si>
  <si>
    <t>Card chosen by Red</t>
    <phoneticPr fontId="1"/>
  </si>
  <si>
    <t>Card chosen by Black</t>
    <phoneticPr fontId="1"/>
  </si>
  <si>
    <t>Record the accumulated score</t>
    <phoneticPr fontId="1"/>
  </si>
  <si>
    <t>K</t>
    <phoneticPr fontId="1"/>
  </si>
  <si>
    <t>Round</t>
    <phoneticPr fontId="1"/>
  </si>
  <si>
    <t>K</t>
    <phoneticPr fontId="1"/>
  </si>
  <si>
    <r>
      <rPr>
        <sz val="20"/>
        <rFont val="ＭＳ Ｐゴシック"/>
        <family val="3"/>
        <charset val="128"/>
      </rPr>
      <t>←</t>
    </r>
    <r>
      <rPr>
        <sz val="20"/>
        <rFont val="Calibri"/>
        <family val="2"/>
      </rPr>
      <t>Numbers should add up to 30.</t>
    </r>
    <phoneticPr fontId="1"/>
  </si>
  <si>
    <r>
      <rPr>
        <sz val="20"/>
        <rFont val="ＭＳ Ｐゴシック"/>
        <family val="3"/>
        <charset val="128"/>
      </rPr>
      <t>←</t>
    </r>
    <r>
      <rPr>
        <sz val="20"/>
        <rFont val="Calibri"/>
        <family val="2"/>
      </rPr>
      <t>Numbers should add up to 30.</t>
    </r>
    <phoneticPr fontId="1"/>
  </si>
  <si>
    <t>Report the number of times each card is chosen</t>
    <phoneticPr fontId="1"/>
  </si>
  <si>
    <r>
      <t xml:space="preserve">K,  1,  2  or 3  </t>
    </r>
    <r>
      <rPr>
        <sz val="14"/>
        <rFont val="ＭＳ Ｐゴシック"/>
        <family val="3"/>
        <charset val="128"/>
      </rPr>
      <t>→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</si>
</sst>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Calibri"/>
      <family val="2"/>
    </font>
    <font>
      <sz val="14"/>
      <name val="ＭＳ Ｐゴシック"/>
      <family val="3"/>
      <charset val="128"/>
    </font>
    <font>
      <sz val="16"/>
      <name val="Calibri"/>
      <family val="2"/>
    </font>
    <font>
      <sz val="20"/>
      <name val="Calibri"/>
      <family val="2"/>
    </font>
    <font>
      <sz val="20"/>
      <name val="ＭＳ Ｐゴシック"/>
      <family val="3"/>
      <charset val="128"/>
    </font>
    <font>
      <sz val="6"/>
      <name val="Calibri"/>
      <family val="2"/>
    </font>
    <font>
      <u/>
      <sz val="11"/>
      <color theme="10"/>
      <name val="ＭＳ Ｐゴシック"/>
      <family val="3"/>
      <charset val="128"/>
    </font>
    <font>
      <u/>
      <sz val="11"/>
      <color theme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5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/>
    </xf>
    <xf numFmtId="0" fontId="5" fillId="0" borderId="0" xfId="0" applyNumberFormat="1" applyFont="1" applyBorder="1" applyAlignment="1">
      <alignment horizontal="left" vertical="center"/>
    </xf>
    <xf numFmtId="0" fontId="4" fillId="2" borderId="0" xfId="0" applyNumberFormat="1" applyFont="1" applyFill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 wrapText="1"/>
    </xf>
  </cellXfs>
  <cellStyles count="2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3"/>
  <sheetViews>
    <sheetView tabSelected="1" view="pageBreakPreview" zoomScale="75" zoomScaleNormal="75" zoomScalePageLayoutView="75" workbookViewId="0">
      <selection activeCell="C3" sqref="C3"/>
    </sheetView>
  </sheetViews>
  <sheetFormatPr defaultColWidth="8.77734375" defaultRowHeight="18" x14ac:dyDescent="0.35"/>
  <cols>
    <col min="1" max="1" width="37" style="8" bestFit="1" customWidth="1"/>
    <col min="2" max="2" width="26" style="19" customWidth="1"/>
    <col min="3" max="17" width="11.109375" style="3" customWidth="1"/>
    <col min="18" max="19" width="8.77734375" style="1"/>
    <col min="20" max="16384" width="8.77734375" style="8"/>
  </cols>
  <sheetData>
    <row r="1" spans="1:19" s="1" customFormat="1" ht="30" customHeight="1" x14ac:dyDescent="0.3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9" s="1" customFormat="1" ht="40.049999999999997" customHeight="1" x14ac:dyDescent="0.35">
      <c r="B2" s="4" t="s">
        <v>11</v>
      </c>
      <c r="C2" s="20">
        <v>1</v>
      </c>
      <c r="D2" s="20">
        <v>2</v>
      </c>
      <c r="E2" s="20">
        <v>3</v>
      </c>
      <c r="F2" s="20">
        <v>4</v>
      </c>
      <c r="G2" s="20">
        <v>5</v>
      </c>
      <c r="H2" s="20">
        <v>6</v>
      </c>
      <c r="I2" s="20">
        <v>7</v>
      </c>
      <c r="J2" s="20">
        <v>8</v>
      </c>
      <c r="K2" s="20">
        <v>9</v>
      </c>
      <c r="L2" s="20">
        <v>10</v>
      </c>
      <c r="M2" s="20">
        <v>11</v>
      </c>
      <c r="N2" s="20">
        <v>12</v>
      </c>
      <c r="O2" s="20">
        <v>13</v>
      </c>
      <c r="P2" s="20">
        <v>14</v>
      </c>
      <c r="Q2" s="20">
        <v>15</v>
      </c>
    </row>
    <row r="3" spans="1:19" s="1" customFormat="1" ht="40.049999999999997" customHeight="1" x14ac:dyDescent="0.35">
      <c r="A3" s="6" t="s">
        <v>16</v>
      </c>
      <c r="B3" s="4" t="s">
        <v>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S3" s="24" t="s">
        <v>10</v>
      </c>
    </row>
    <row r="4" spans="1:19" s="1" customFormat="1" ht="40.049999999999997" customHeight="1" x14ac:dyDescent="0.35">
      <c r="A4" s="6" t="s">
        <v>16</v>
      </c>
      <c r="B4" s="4" t="s">
        <v>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S4" s="24">
        <v>1</v>
      </c>
    </row>
    <row r="5" spans="1:19" s="1" customFormat="1" ht="40.049999999999997" customHeight="1" x14ac:dyDescent="0.35">
      <c r="B5" s="4" t="s">
        <v>0</v>
      </c>
      <c r="C5" s="5" t="str">
        <f>IF(OR(C3="",C4=""),"",IF(OR(AND(C3="K",C4="K"), AND(NOT(C3=C4),NOT(C3="K"),NOT(C4="K"))),"Red","Black"))</f>
        <v/>
      </c>
      <c r="D5" s="5" t="str">
        <f t="shared" ref="D5:Q5" si="0">IF(OR(D3="",D4=""),"",IF(OR(AND(D3="K",D4="K"), AND(NOT(D3=D4),NOT(D3="K"),NOT(D4="K"))),"Red","Black"))</f>
        <v/>
      </c>
      <c r="E5" s="5" t="str">
        <f t="shared" si="0"/>
        <v/>
      </c>
      <c r="F5" s="5" t="str">
        <f t="shared" si="0"/>
        <v/>
      </c>
      <c r="G5" s="5" t="str">
        <f t="shared" si="0"/>
        <v/>
      </c>
      <c r="H5" s="5" t="str">
        <f t="shared" si="0"/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S5" s="24">
        <v>2</v>
      </c>
    </row>
    <row r="6" spans="1:19" s="1" customFormat="1" ht="40.049999999999997" customHeight="1" x14ac:dyDescent="0.35">
      <c r="A6" s="26" t="s">
        <v>3</v>
      </c>
      <c r="B6" s="7" t="s">
        <v>1</v>
      </c>
      <c r="C6" s="27" t="str">
        <f>IF(C5="","",IF(C5="Red",1,0))</f>
        <v/>
      </c>
      <c r="D6" s="27" t="str">
        <f>IF(D5="","",IF(D5="Red",C6+1,C6))</f>
        <v/>
      </c>
      <c r="E6" s="27" t="str">
        <f t="shared" ref="E6:Q6" si="1">IF(E5="","",IF(E5="Red",D6+1,D6))</f>
        <v/>
      </c>
      <c r="F6" s="27" t="str">
        <f t="shared" si="1"/>
        <v/>
      </c>
      <c r="G6" s="27" t="str">
        <f t="shared" si="1"/>
        <v/>
      </c>
      <c r="H6" s="27" t="str">
        <f t="shared" si="1"/>
        <v/>
      </c>
      <c r="I6" s="27" t="str">
        <f t="shared" si="1"/>
        <v/>
      </c>
      <c r="J6" s="27" t="str">
        <f t="shared" si="1"/>
        <v/>
      </c>
      <c r="K6" s="27" t="str">
        <f t="shared" si="1"/>
        <v/>
      </c>
      <c r="L6" s="27" t="str">
        <f t="shared" si="1"/>
        <v/>
      </c>
      <c r="M6" s="27" t="str">
        <f t="shared" si="1"/>
        <v/>
      </c>
      <c r="N6" s="27" t="str">
        <f t="shared" si="1"/>
        <v/>
      </c>
      <c r="O6" s="27" t="str">
        <f t="shared" si="1"/>
        <v/>
      </c>
      <c r="P6" s="27" t="str">
        <f t="shared" si="1"/>
        <v/>
      </c>
      <c r="Q6" s="27" t="str">
        <f t="shared" si="1"/>
        <v/>
      </c>
      <c r="S6" s="24">
        <v>3</v>
      </c>
    </row>
    <row r="7" spans="1:19" s="1" customFormat="1" ht="40.049999999999997" customHeight="1" x14ac:dyDescent="0.35">
      <c r="A7" s="26" t="s">
        <v>9</v>
      </c>
      <c r="B7" s="7" t="s">
        <v>2</v>
      </c>
      <c r="C7" s="27" t="str">
        <f>IF(C5="","",IF(C5="Black",1,0))</f>
        <v/>
      </c>
      <c r="D7" s="27" t="str">
        <f>IF(D5="","",IF(D5="Black",C7+1,C7))</f>
        <v/>
      </c>
      <c r="E7" s="27" t="str">
        <f t="shared" ref="E7:Q7" si="2">IF(E5="","",IF(E5="Black",D7+1,D7))</f>
        <v/>
      </c>
      <c r="F7" s="27" t="str">
        <f t="shared" si="2"/>
        <v/>
      </c>
      <c r="G7" s="27" t="str">
        <f t="shared" si="2"/>
        <v/>
      </c>
      <c r="H7" s="27" t="str">
        <f t="shared" si="2"/>
        <v/>
      </c>
      <c r="I7" s="27" t="str">
        <f t="shared" si="2"/>
        <v/>
      </c>
      <c r="J7" s="27" t="str">
        <f t="shared" si="2"/>
        <v/>
      </c>
      <c r="K7" s="27" t="str">
        <f t="shared" si="2"/>
        <v/>
      </c>
      <c r="L7" s="27" t="str">
        <f t="shared" si="2"/>
        <v/>
      </c>
      <c r="M7" s="27" t="str">
        <f t="shared" si="2"/>
        <v/>
      </c>
      <c r="N7" s="27" t="str">
        <f t="shared" si="2"/>
        <v/>
      </c>
      <c r="O7" s="27" t="str">
        <f t="shared" si="2"/>
        <v/>
      </c>
      <c r="P7" s="27" t="str">
        <f t="shared" si="2"/>
        <v/>
      </c>
      <c r="Q7" s="27" t="str">
        <f t="shared" si="2"/>
        <v/>
      </c>
    </row>
    <row r="8" spans="1:19" ht="40.049999999999997" customHeight="1" x14ac:dyDescent="0.35">
      <c r="B8" s="9"/>
    </row>
    <row r="9" spans="1:19" s="1" customFormat="1" ht="40.049999999999997" customHeight="1" x14ac:dyDescent="0.35">
      <c r="B9" s="4" t="s">
        <v>11</v>
      </c>
      <c r="C9" s="20">
        <v>16</v>
      </c>
      <c r="D9" s="20">
        <v>17</v>
      </c>
      <c r="E9" s="20">
        <v>18</v>
      </c>
      <c r="F9" s="20">
        <v>19</v>
      </c>
      <c r="G9" s="20">
        <v>20</v>
      </c>
      <c r="H9" s="20">
        <v>21</v>
      </c>
      <c r="I9" s="20">
        <v>22</v>
      </c>
      <c r="J9" s="20">
        <v>23</v>
      </c>
      <c r="K9" s="20">
        <v>24</v>
      </c>
      <c r="L9" s="20">
        <v>25</v>
      </c>
      <c r="M9" s="20">
        <v>26</v>
      </c>
      <c r="N9" s="20">
        <v>27</v>
      </c>
      <c r="O9" s="20">
        <v>28</v>
      </c>
      <c r="P9" s="20">
        <v>29</v>
      </c>
      <c r="Q9" s="20">
        <v>30</v>
      </c>
    </row>
    <row r="10" spans="1:19" s="1" customFormat="1" ht="40.049999999999997" customHeight="1" x14ac:dyDescent="0.35">
      <c r="B10" s="4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9" s="1" customFormat="1" ht="40.049999999999997" customHeight="1" x14ac:dyDescent="0.35">
      <c r="B11" s="4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9" s="1" customFormat="1" ht="40.049999999999997" customHeight="1" x14ac:dyDescent="0.35">
      <c r="B12" s="4" t="s">
        <v>0</v>
      </c>
      <c r="C12" s="5" t="str">
        <f>IF(OR(C10="",C11=""),"",IF(OR(AND(C10="K",C11="K"), AND(NOT(C10=C11),NOT(C10="K"),NOT(C11="K"))),"Red","Black"))</f>
        <v/>
      </c>
      <c r="D12" s="5" t="str">
        <f t="shared" ref="D12:Q12" si="3">IF(OR(D10="",D11=""),"",IF(OR(AND(D10="K",D11="K"), AND(NOT(D10=D11),NOT(D10="K"),NOT(D11="K"))),"Red","Black"))</f>
        <v/>
      </c>
      <c r="E12" s="5" t="str">
        <f t="shared" si="3"/>
        <v/>
      </c>
      <c r="F12" s="5" t="str">
        <f t="shared" si="3"/>
        <v/>
      </c>
      <c r="G12" s="5" t="str">
        <f t="shared" si="3"/>
        <v/>
      </c>
      <c r="H12" s="5" t="str">
        <f t="shared" si="3"/>
        <v/>
      </c>
      <c r="I12" s="5" t="str">
        <f t="shared" si="3"/>
        <v/>
      </c>
      <c r="J12" s="5" t="str">
        <f t="shared" si="3"/>
        <v/>
      </c>
      <c r="K12" s="5" t="str">
        <f t="shared" si="3"/>
        <v/>
      </c>
      <c r="L12" s="5" t="str">
        <f t="shared" si="3"/>
        <v/>
      </c>
      <c r="M12" s="5" t="str">
        <f t="shared" si="3"/>
        <v/>
      </c>
      <c r="N12" s="5" t="str">
        <f t="shared" si="3"/>
        <v/>
      </c>
      <c r="O12" s="5" t="str">
        <f t="shared" si="3"/>
        <v/>
      </c>
      <c r="P12" s="5" t="str">
        <f t="shared" si="3"/>
        <v/>
      </c>
      <c r="Q12" s="5" t="str">
        <f t="shared" si="3"/>
        <v/>
      </c>
    </row>
    <row r="13" spans="1:19" s="1" customFormat="1" ht="40.049999999999997" customHeight="1" x14ac:dyDescent="0.35">
      <c r="B13" s="7" t="s">
        <v>1</v>
      </c>
      <c r="C13" s="27" t="str">
        <f>IF(C12="","",IF(C12="Red",Q6+1,Q6))</f>
        <v/>
      </c>
      <c r="D13" s="27" t="str">
        <f t="shared" ref="D13:Q13" si="4">IF(D12="","",IF(D12="Red",C13+1,C13))</f>
        <v/>
      </c>
      <c r="E13" s="27" t="str">
        <f t="shared" si="4"/>
        <v/>
      </c>
      <c r="F13" s="27" t="str">
        <f t="shared" si="4"/>
        <v/>
      </c>
      <c r="G13" s="27" t="str">
        <f t="shared" si="4"/>
        <v/>
      </c>
      <c r="H13" s="27" t="str">
        <f t="shared" si="4"/>
        <v/>
      </c>
      <c r="I13" s="27" t="str">
        <f t="shared" si="4"/>
        <v/>
      </c>
      <c r="J13" s="27" t="str">
        <f t="shared" si="4"/>
        <v/>
      </c>
      <c r="K13" s="27" t="str">
        <f t="shared" si="4"/>
        <v/>
      </c>
      <c r="L13" s="27" t="str">
        <f t="shared" si="4"/>
        <v/>
      </c>
      <c r="M13" s="27" t="str">
        <f t="shared" si="4"/>
        <v/>
      </c>
      <c r="N13" s="27" t="str">
        <f t="shared" si="4"/>
        <v/>
      </c>
      <c r="O13" s="27" t="str">
        <f t="shared" si="4"/>
        <v/>
      </c>
      <c r="P13" s="27" t="str">
        <f t="shared" si="4"/>
        <v/>
      </c>
      <c r="Q13" s="27" t="str">
        <f t="shared" si="4"/>
        <v/>
      </c>
    </row>
    <row r="14" spans="1:19" s="1" customFormat="1" ht="40.049999999999997" customHeight="1" x14ac:dyDescent="0.35">
      <c r="B14" s="7" t="s">
        <v>2</v>
      </c>
      <c r="C14" s="27" t="str">
        <f>IF(C12="","",IF(C12="Black",Q7+1,Q7))</f>
        <v/>
      </c>
      <c r="D14" s="27" t="str">
        <f t="shared" ref="D14:Q14" si="5">IF(D12="","",IF(D12="Black",C14+1,C14))</f>
        <v/>
      </c>
      <c r="E14" s="27" t="str">
        <f t="shared" si="5"/>
        <v/>
      </c>
      <c r="F14" s="27" t="str">
        <f t="shared" si="5"/>
        <v/>
      </c>
      <c r="G14" s="27" t="str">
        <f t="shared" si="5"/>
        <v/>
      </c>
      <c r="H14" s="27" t="str">
        <f t="shared" si="5"/>
        <v/>
      </c>
      <c r="I14" s="27" t="str">
        <f t="shared" si="5"/>
        <v/>
      </c>
      <c r="J14" s="27" t="str">
        <f t="shared" si="5"/>
        <v/>
      </c>
      <c r="K14" s="27" t="str">
        <f t="shared" si="5"/>
        <v/>
      </c>
      <c r="L14" s="27" t="str">
        <f t="shared" si="5"/>
        <v/>
      </c>
      <c r="M14" s="27" t="str">
        <f t="shared" si="5"/>
        <v/>
      </c>
      <c r="N14" s="27" t="str">
        <f t="shared" si="5"/>
        <v/>
      </c>
      <c r="O14" s="27" t="str">
        <f t="shared" si="5"/>
        <v/>
      </c>
      <c r="P14" s="27" t="str">
        <f t="shared" si="5"/>
        <v/>
      </c>
      <c r="Q14" s="27" t="str">
        <f t="shared" si="5"/>
        <v/>
      </c>
    </row>
    <row r="15" spans="1:19" s="1" customFormat="1" ht="40.049999999999997" customHeight="1" x14ac:dyDescent="0.35">
      <c r="A15" s="8"/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9" s="1" customFormat="1" ht="40.049999999999997" customHeight="1" thickBot="1" x14ac:dyDescent="0.4">
      <c r="A16" s="1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0"/>
    </row>
    <row r="17" spans="1:18" s="1" customFormat="1" ht="40.049999999999997" customHeight="1" x14ac:dyDescent="0.35">
      <c r="A17" s="29" t="s">
        <v>15</v>
      </c>
      <c r="B17" s="13"/>
      <c r="C17" s="21" t="s">
        <v>12</v>
      </c>
      <c r="D17" s="21">
        <v>1</v>
      </c>
      <c r="E17" s="21">
        <v>2</v>
      </c>
      <c r="F17" s="22">
        <v>3</v>
      </c>
      <c r="G17" s="23" t="s">
        <v>6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0"/>
    </row>
    <row r="18" spans="1:18" s="1" customFormat="1" ht="40.049999999999997" customHeight="1" thickBot="1" x14ac:dyDescent="0.4">
      <c r="A18" s="29"/>
      <c r="B18" s="14" t="s">
        <v>4</v>
      </c>
      <c r="C18" s="15">
        <f>COUNTIF($C$3:$Q$3,"K")+COUNTIF($C$10:$Q$10,"K")</f>
        <v>0</v>
      </c>
      <c r="D18" s="15">
        <f>COUNTIF($C$3:$Q$3,"1")+COUNTIF($C$10:$Q$10,"1")</f>
        <v>0</v>
      </c>
      <c r="E18" s="15">
        <f>COUNTIF($C$3:$Q$3,"2")+COUNTIF($C$10:$Q$10,"2")</f>
        <v>0</v>
      </c>
      <c r="F18" s="15">
        <f>COUNTIF($C$3:$Q$3,"3")+COUNTIF($C$10:$Q$10,"3")</f>
        <v>0</v>
      </c>
      <c r="G18" s="16" t="str">
        <f>IF(SUM(C18:F18)=0,"",SUM(C18:F18))</f>
        <v/>
      </c>
      <c r="H18" s="25" t="s">
        <v>14</v>
      </c>
      <c r="I18" s="12"/>
      <c r="J18" s="12"/>
      <c r="K18" s="12"/>
      <c r="L18" s="12"/>
      <c r="M18" s="12"/>
      <c r="N18" s="12"/>
      <c r="O18" s="12"/>
      <c r="P18" s="12"/>
      <c r="Q18" s="12"/>
      <c r="R18" s="10"/>
    </row>
    <row r="19" spans="1:18" s="1" customFormat="1" ht="40.049999999999997" customHeight="1" thickBot="1" x14ac:dyDescent="0.4">
      <c r="A19" s="12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0"/>
    </row>
    <row r="20" spans="1:18" s="1" customFormat="1" ht="40.049999999999997" customHeight="1" x14ac:dyDescent="0.35">
      <c r="A20" s="10"/>
      <c r="B20" s="17"/>
      <c r="C20" s="21" t="s">
        <v>12</v>
      </c>
      <c r="D20" s="21">
        <v>1</v>
      </c>
      <c r="E20" s="21">
        <v>2</v>
      </c>
      <c r="F20" s="22">
        <v>3</v>
      </c>
      <c r="G20" s="23" t="s">
        <v>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0"/>
    </row>
    <row r="21" spans="1:18" s="1" customFormat="1" ht="40.049999999999997" customHeight="1" thickBot="1" x14ac:dyDescent="0.4">
      <c r="A21" s="10"/>
      <c r="B21" s="14" t="s">
        <v>5</v>
      </c>
      <c r="C21" s="28">
        <f>COUNTIF($C$4:$Q$4,"K")+COUNTIF($C$11:$Q$11,"K")</f>
        <v>0</v>
      </c>
      <c r="D21" s="28">
        <f>COUNTIF($C$4:$Q$4,"1")+COUNTIF($C$11:$Q$11,"1")</f>
        <v>0</v>
      </c>
      <c r="E21" s="28">
        <f>COUNTIF($C$4:$Q$4,"2")+COUNTIF($C$11:$Q$11,"2")</f>
        <v>0</v>
      </c>
      <c r="F21" s="28">
        <f>COUNTIF($C$4:$Q$4,"3")+COUNTIF($C$11:$Q$11,"3")</f>
        <v>0</v>
      </c>
      <c r="G21" s="16" t="str">
        <f>IF(SUM(C21:F21)=0,"",SUM(C21:F21))</f>
        <v/>
      </c>
      <c r="H21" s="25" t="s">
        <v>13</v>
      </c>
      <c r="I21" s="12"/>
      <c r="J21" s="12"/>
      <c r="K21" s="12"/>
      <c r="L21" s="12"/>
      <c r="M21" s="12"/>
      <c r="N21" s="12"/>
      <c r="O21" s="12"/>
      <c r="P21" s="12"/>
      <c r="Q21" s="12"/>
      <c r="R21" s="10"/>
    </row>
    <row r="22" spans="1:18" s="1" customFormat="1" ht="30" customHeight="1" x14ac:dyDescent="0.35">
      <c r="A22" s="18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0"/>
    </row>
    <row r="23" spans="1:18" s="1" customFormat="1" x14ac:dyDescent="0.35">
      <c r="A23" s="1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0"/>
    </row>
    <row r="24" spans="1:18" s="1" customFormat="1" ht="16.5" customHeight="1" x14ac:dyDescent="0.35">
      <c r="A24" s="1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0"/>
    </row>
    <row r="25" spans="1:18" s="1" customFormat="1" ht="16.5" customHeight="1" x14ac:dyDescent="0.35">
      <c r="A25" s="1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0"/>
    </row>
    <row r="26" spans="1:18" s="1" customFormat="1" ht="16.5" customHeight="1" x14ac:dyDescent="0.35">
      <c r="A26" s="1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0"/>
    </row>
    <row r="27" spans="1:18" s="1" customFormat="1" ht="16.5" customHeight="1" x14ac:dyDescent="0.35">
      <c r="A27" s="1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0"/>
    </row>
    <row r="28" spans="1:18" s="1" customFormat="1" ht="16.5" customHeight="1" x14ac:dyDescent="0.35">
      <c r="A28" s="1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0"/>
    </row>
    <row r="29" spans="1:18" s="1" customFormat="1" x14ac:dyDescent="0.35">
      <c r="A29" s="18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0"/>
    </row>
    <row r="30" spans="1:18" s="1" customFormat="1" x14ac:dyDescent="0.35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0"/>
    </row>
    <row r="31" spans="1:18" s="1" customFormat="1" ht="16.5" customHeight="1" x14ac:dyDescent="0.35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0"/>
    </row>
    <row r="32" spans="1:18" s="1" customFormat="1" ht="16.5" customHeight="1" x14ac:dyDescent="0.35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0"/>
    </row>
    <row r="33" spans="1:18" s="1" customFormat="1" ht="16.5" customHeight="1" x14ac:dyDescent="0.35">
      <c r="A33" s="10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0"/>
    </row>
    <row r="34" spans="1:18" s="1" customFormat="1" ht="16.5" customHeight="1" x14ac:dyDescent="0.35">
      <c r="A34" s="10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0"/>
    </row>
    <row r="35" spans="1:18" s="1" customFormat="1" ht="16.5" customHeight="1" x14ac:dyDescent="0.35">
      <c r="A35" s="10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0"/>
    </row>
    <row r="36" spans="1:18" s="1" customFormat="1" x14ac:dyDescent="0.35">
      <c r="A36" s="18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0"/>
    </row>
    <row r="37" spans="1:18" s="1" customFormat="1" x14ac:dyDescent="0.35">
      <c r="A37" s="10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0"/>
    </row>
    <row r="38" spans="1:18" s="1" customFormat="1" ht="16.5" customHeight="1" x14ac:dyDescent="0.35">
      <c r="A38" s="10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0"/>
    </row>
    <row r="39" spans="1:18" s="1" customFormat="1" ht="16.5" customHeight="1" x14ac:dyDescent="0.35">
      <c r="A39" s="10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0"/>
    </row>
    <row r="40" spans="1:18" s="1" customFormat="1" ht="16.5" customHeight="1" x14ac:dyDescent="0.35">
      <c r="A40" s="10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0"/>
    </row>
    <row r="41" spans="1:18" s="1" customFormat="1" ht="16.5" customHeight="1" x14ac:dyDescent="0.35">
      <c r="A41" s="10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0"/>
    </row>
    <row r="42" spans="1:18" s="1" customFormat="1" ht="16.5" customHeight="1" x14ac:dyDescent="0.35">
      <c r="A42" s="10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0"/>
    </row>
    <row r="43" spans="1:18" s="1" customFormat="1" x14ac:dyDescent="0.35">
      <c r="A43" s="18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0"/>
    </row>
  </sheetData>
  <mergeCells count="1">
    <mergeCell ref="A17:A18"/>
  </mergeCells>
  <phoneticPr fontId="1"/>
  <dataValidations count="1">
    <dataValidation type="list" allowBlank="1" showErrorMessage="1" error="Not valid data!_x000a_Your input can be K, 1, 2 or 3." sqref="C3:Q4 C10:Q11">
      <formula1>$S$3:$S$6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r:id="rId1"/>
  <headerFooter alignWithMargins="0"/>
  <ignoredErrors>
    <ignoredError sqref="E18" formula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ResultSheet</vt:lpstr>
      <vt:lpstr>ResultSheet!Print_Area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kandori</dc:creator>
  <cp:lastModifiedBy>Yu</cp:lastModifiedBy>
  <cp:lastPrinted>2015-01-28T09:26:09Z</cp:lastPrinted>
  <dcterms:created xsi:type="dcterms:W3CDTF">2014-11-14T08:33:20Z</dcterms:created>
  <dcterms:modified xsi:type="dcterms:W3CDTF">2015-02-12T07:39:28Z</dcterms:modified>
</cp:coreProperties>
</file>